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st Model" sheetId="2" state="visible" r:id="rId4"/>
    <sheet name="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<sst xmlns="http://schemas.openxmlformats.org/spreadsheetml/2006/main" count="66" uniqueCount="60">
  <si>
    <t xml:space="preserve">PAPERHINT — PRICING INPUTS</t>
  </si>
  <si>
    <t xml:space="preserve">Edit only the yellow cells. Everything else recalculates.</t>
  </si>
  <si>
    <t xml:space="preserve">School profile (sample: mid-size school)</t>
  </si>
  <si>
    <t xml:space="preserve">Students</t>
  </si>
  <si>
    <t xml:space="preserve">Total enrolled students</t>
  </si>
  <si>
    <t xml:space="preserve">Teachers</t>
  </si>
  <si>
    <t xml:space="preserve">Teaching staff with active accounts</t>
  </si>
  <si>
    <t xml:space="preserve">Subjects</t>
  </si>
  <si>
    <t xml:space="preserve">Subjects with knowledge base / library maintained</t>
  </si>
  <si>
    <t xml:space="preserve">Unit maintenance cost (₹ per year) — assumptions, not quotes</t>
  </si>
  <si>
    <t xml:space="preserve">Cost per student / year</t>
  </si>
  <si>
    <t xml:space="preserve">Hosting + records/marks storage + ~150 parent emails (₹0.07/email). Assumption by Shrivathsan/Claude — validate against real cloud bills.</t>
  </si>
  <si>
    <t xml:space="preserve">Cost per teacher / year</t>
  </si>
  <si>
    <t xml:space="preserve">Heavier usage: question-paper generation, notes, content &amp; AI features. Assumption — AI usage is the swing factor.</t>
  </si>
  <si>
    <t xml:space="preserve">Cost per subject / year</t>
  </si>
  <si>
    <t xml:space="preserve">Digital library &amp; knowledge-base storage, indexing, backup per subject. Assumption.</t>
  </si>
  <si>
    <t xml:space="preserve">School base cost / year</t>
  </si>
  <si>
    <t xml:space="preserve">Fixed per school: base infra, support share, amortised onboarding. Assumption — set to 0 to match the pure teacher+student+subject formula.</t>
  </si>
  <si>
    <t xml:space="preserve">Margin</t>
  </si>
  <si>
    <t xml:space="preserve">Margin (% of overall cost)</t>
  </si>
  <si>
    <t xml:space="preserve">Your formula: price = cost + 50% of cost (a markup). Note: a true 50% GROSS margin would be price = cost ÷ 0.5.</t>
  </si>
  <si>
    <t xml:space="preserve">Legend</t>
  </si>
  <si>
    <t xml:space="preserve">Yellow + blue text = edit these · Black = calculated · Green = pulls from another sheet</t>
  </si>
  <si>
    <t xml:space="preserve">All ₹ figures are illustrative placeholders supplied in this working session, not researched market rates.</t>
  </si>
  <si>
    <t xml:space="preserve">COST MODEL — price per student</t>
  </si>
  <si>
    <t xml:space="preserve">[ operation cost = teachers + students + subjects (+ school base) ] + margin = price per student</t>
  </si>
  <si>
    <t xml:space="preserve">Operation cost (₹ / year)</t>
  </si>
  <si>
    <t xml:space="preserve">Students cost</t>
  </si>
  <si>
    <t xml:space="preserve">students × cost per student</t>
  </si>
  <si>
    <t xml:space="preserve">Teachers cost</t>
  </si>
  <si>
    <t xml:space="preserve">teachers × cost per teacher</t>
  </si>
  <si>
    <t xml:space="preserve">Subjects maintenance cost</t>
  </si>
  <si>
    <t xml:space="preserve">subjects × cost per subject</t>
  </si>
  <si>
    <t xml:space="preserve">School base cost</t>
  </si>
  <si>
    <t xml:space="preserve">fixed per school</t>
  </si>
  <si>
    <t xml:space="preserve">Total operation cost</t>
  </si>
  <si>
    <t xml:space="preserve">Per-student economics (₹ / year)</t>
  </si>
  <si>
    <t xml:space="preserve">Operation cost per student</t>
  </si>
  <si>
    <t xml:space="preserve">total operation cost ÷ students</t>
  </si>
  <si>
    <t xml:space="preserve">Margin (50% of cost)</t>
  </si>
  <si>
    <t xml:space="preserve">PRICE PER STUDENT / YEAR</t>
  </si>
  <si>
    <t xml:space="preserve">what the school pays per student</t>
  </si>
  <si>
    <t xml:space="preserve">Price per student / month</t>
  </si>
  <si>
    <t xml:space="preserve">what a parent would feel per month</t>
  </si>
  <si>
    <t xml:space="preserve">School-level view (₹ / year)</t>
  </si>
  <si>
    <t xml:space="preserve">Annual revenue from school</t>
  </si>
  <si>
    <t xml:space="preserve">price × students</t>
  </si>
  <si>
    <t xml:space="preserve">Annual profit from school</t>
  </si>
  <si>
    <t xml:space="preserve">revenue − operation cost</t>
  </si>
  <si>
    <t xml:space="preserve">Check: profit as % of cost</t>
  </si>
  <si>
    <t xml:space="preserve">should equal the margin % on Inputs</t>
  </si>
  <si>
    <t xml:space="preserve">SCENARIOS — same unit costs, different school sizes</t>
  </si>
  <si>
    <t xml:space="preserve">Edit the yellow counts; unit costs &amp; margin pull from Inputs.</t>
  </si>
  <si>
    <t xml:space="preserve">Small school</t>
  </si>
  <si>
    <t xml:space="preserve">Mid school</t>
  </si>
  <si>
    <t xml:space="preserve">Large school</t>
  </si>
  <si>
    <t xml:space="preserve">Price per student / year (+margin)</t>
  </si>
  <si>
    <t xml:space="preserve">Annual revenue</t>
  </si>
  <si>
    <t xml:space="preserve">Annual profit</t>
  </si>
  <si>
    <t xml:space="preserve">Takeaway: fixed school base cost makes small schools costlier per student — price tiers or a minimum school fee cover it.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</si>
</sst>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₹#,##0"/>
    <numFmt numFmtId="167" formatCode="0%"/>
    <numFmt numFmtId="168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8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10201A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B8A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8A5C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8A5C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020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1000</v>
      </c>
      <c r="C5" s="2" t="s">
        <v>4</v>
      </c>
    </row>
    <row r="6" customFormat="false" ht="15" hidden="false" customHeight="false" outlineLevel="0" collapsed="false">
      <c r="A6" s="5" t="s">
        <v>5</v>
      </c>
      <c r="B6" s="6" t="n">
        <v>40</v>
      </c>
      <c r="C6" s="2" t="s">
        <v>6</v>
      </c>
    </row>
    <row r="7" customFormat="false" ht="15" hidden="false" customHeight="false" outlineLevel="0" collapsed="false">
      <c r="A7" s="5" t="s">
        <v>7</v>
      </c>
      <c r="B7" s="6" t="n">
        <v>12</v>
      </c>
      <c r="C7" s="2" t="s">
        <v>8</v>
      </c>
    </row>
    <row r="9" customFormat="false" ht="15" hidden="false" customHeight="false" outlineLevel="0" collapsed="false">
      <c r="A9" s="3" t="s">
        <v>9</v>
      </c>
      <c r="B9" s="4"/>
      <c r="C9" s="4"/>
    </row>
    <row r="10" customFormat="false" ht="15" hidden="false" customHeight="false" outlineLevel="0" collapsed="false">
      <c r="A10" s="5" t="s">
        <v>10</v>
      </c>
      <c r="B10" s="7" t="n">
        <v>30</v>
      </c>
      <c r="C10" s="2" t="s">
        <v>11</v>
      </c>
    </row>
    <row r="11" customFormat="false" ht="15" hidden="false" customHeight="false" outlineLevel="0" collapsed="false">
      <c r="A11" s="5" t="s">
        <v>12</v>
      </c>
      <c r="B11" s="7" t="n">
        <v>400</v>
      </c>
      <c r="C11" s="2" t="s">
        <v>13</v>
      </c>
    </row>
    <row r="12" customFormat="false" ht="15" hidden="false" customHeight="false" outlineLevel="0" collapsed="false">
      <c r="A12" s="5" t="s">
        <v>14</v>
      </c>
      <c r="B12" s="7" t="n">
        <v>300</v>
      </c>
      <c r="C12" s="2" t="s">
        <v>15</v>
      </c>
    </row>
    <row r="13" customFormat="false" ht="15" hidden="false" customHeight="false" outlineLevel="0" collapsed="false">
      <c r="A13" s="5" t="s">
        <v>16</v>
      </c>
      <c r="B13" s="7" t="n">
        <v>40000</v>
      </c>
      <c r="C13" s="2" t="s">
        <v>17</v>
      </c>
    </row>
    <row r="15" customFormat="false" ht="15" hidden="false" customHeight="false" outlineLevel="0" collapsed="false">
      <c r="A15" s="3" t="s">
        <v>18</v>
      </c>
      <c r="B15" s="4"/>
      <c r="C15" s="4"/>
    </row>
    <row r="16" customFormat="false" ht="15" hidden="false" customHeight="false" outlineLevel="0" collapsed="false">
      <c r="A16" s="5" t="s">
        <v>19</v>
      </c>
      <c r="B16" s="8" t="n">
        <v>0.5</v>
      </c>
      <c r="C16" s="2" t="s">
        <v>20</v>
      </c>
    </row>
    <row r="19" customFormat="false" ht="15" hidden="false" customHeight="false" outlineLevel="0" collapsed="false">
      <c r="A19" s="9" t="s">
        <v>21</v>
      </c>
    </row>
    <row r="20" customFormat="false" ht="15" hidden="false" customHeight="false" outlineLevel="0" collapsed="false">
      <c r="A20" s="2" t="s">
        <v>22</v>
      </c>
    </row>
    <row r="21" customFormat="false" ht="15" hidden="false" customHeight="false" outlineLevel="0" collapsed="false">
      <c r="A2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5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4"/>
      <c r="C4" s="4"/>
      <c r="D4" s="4"/>
      <c r="E4" s="4"/>
    </row>
    <row r="5" customFormat="false" ht="15" hidden="false" customHeight="false" outlineLevel="0" collapsed="false">
      <c r="A5" s="5" t="s">
        <v>27</v>
      </c>
      <c r="B5" s="10" t="n">
        <f aca="false">Inputs!B5*Inputs!B10</f>
        <v>30000</v>
      </c>
      <c r="E5" s="2" t="s">
        <v>28</v>
      </c>
    </row>
    <row r="6" customFormat="false" ht="15" hidden="false" customHeight="false" outlineLevel="0" collapsed="false">
      <c r="A6" s="5" t="s">
        <v>29</v>
      </c>
      <c r="B6" s="10" t="n">
        <f aca="false">Inputs!B6*Inputs!B11</f>
        <v>16000</v>
      </c>
      <c r="E6" s="2" t="s">
        <v>30</v>
      </c>
    </row>
    <row r="7" customFormat="false" ht="15" hidden="false" customHeight="false" outlineLevel="0" collapsed="false">
      <c r="A7" s="5" t="s">
        <v>31</v>
      </c>
      <c r="B7" s="10" t="n">
        <f aca="false">Inputs!B7*Inputs!B12</f>
        <v>3600</v>
      </c>
      <c r="E7" s="2" t="s">
        <v>32</v>
      </c>
    </row>
    <row r="8" customFormat="false" ht="15" hidden="false" customHeight="false" outlineLevel="0" collapsed="false">
      <c r="A8" s="5" t="s">
        <v>33</v>
      </c>
      <c r="B8" s="10" t="n">
        <f aca="false">Inputs!B13</f>
        <v>40000</v>
      </c>
      <c r="E8" s="2" t="s">
        <v>34</v>
      </c>
    </row>
    <row r="9" customFormat="false" ht="15" hidden="false" customHeight="false" outlineLevel="0" collapsed="false">
      <c r="A9" s="5" t="s">
        <v>35</v>
      </c>
      <c r="B9" s="11" t="n">
        <f aca="false">SUM(B5:B8)</f>
        <v>89600</v>
      </c>
      <c r="E9" s="2"/>
    </row>
    <row r="11" customFormat="false" ht="15" hidden="false" customHeight="false" outlineLevel="0" collapsed="false">
      <c r="A11" s="3" t="s">
        <v>36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37</v>
      </c>
      <c r="B12" s="12" t="n">
        <f aca="false">B9/Inputs!B5</f>
        <v>89.6</v>
      </c>
      <c r="E12" s="2" t="s">
        <v>38</v>
      </c>
    </row>
    <row r="13" customFormat="false" ht="15" hidden="false" customHeight="false" outlineLevel="0" collapsed="false">
      <c r="A13" s="5" t="s">
        <v>39</v>
      </c>
      <c r="B13" s="12" t="n">
        <f aca="false">B12*Inputs!B16</f>
        <v>44.8</v>
      </c>
      <c r="E13" s="2"/>
    </row>
    <row r="14" customFormat="false" ht="15" hidden="false" customHeight="false" outlineLevel="0" collapsed="false">
      <c r="A14" s="9" t="s">
        <v>40</v>
      </c>
      <c r="B14" s="13" t="n">
        <f aca="false">B12+B13</f>
        <v>134.4</v>
      </c>
      <c r="E14" s="2" t="s">
        <v>41</v>
      </c>
    </row>
    <row r="15" customFormat="false" ht="15" hidden="false" customHeight="false" outlineLevel="0" collapsed="false">
      <c r="A15" s="5" t="s">
        <v>42</v>
      </c>
      <c r="B15" s="14" t="n">
        <f aca="false">B14/12</f>
        <v>11.2</v>
      </c>
      <c r="E15" s="2" t="s">
        <v>43</v>
      </c>
    </row>
    <row r="17" customFormat="false" ht="15" hidden="false" customHeight="false" outlineLevel="0" collapsed="false">
      <c r="A17" s="3" t="s">
        <v>44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45</v>
      </c>
      <c r="B18" s="10" t="n">
        <f aca="false">B14*Inputs!B5</f>
        <v>134400</v>
      </c>
      <c r="E18" s="2" t="s">
        <v>46</v>
      </c>
    </row>
    <row r="19" customFormat="false" ht="15" hidden="false" customHeight="false" outlineLevel="0" collapsed="false">
      <c r="A19" s="5" t="s">
        <v>47</v>
      </c>
      <c r="B19" s="11" t="n">
        <f aca="false">B18-B9</f>
        <v>44800</v>
      </c>
      <c r="E19" s="2" t="s">
        <v>48</v>
      </c>
    </row>
    <row r="20" customFormat="false" ht="15" hidden="false" customHeight="false" outlineLevel="0" collapsed="false">
      <c r="A20" s="5" t="s">
        <v>49</v>
      </c>
      <c r="B20" s="15" t="n">
        <f aca="false">B19/B9</f>
        <v>0.5</v>
      </c>
      <c r="E20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/>
      <c r="B4" s="3" t="s">
        <v>53</v>
      </c>
      <c r="C4" s="3" t="s">
        <v>54</v>
      </c>
      <c r="D4" s="3" t="s">
        <v>55</v>
      </c>
    </row>
    <row r="5" customFormat="false" ht="15" hidden="false" customHeight="false" outlineLevel="0" collapsed="false">
      <c r="A5" s="5" t="s">
        <v>3</v>
      </c>
      <c r="B5" s="6" t="n">
        <v>300</v>
      </c>
      <c r="C5" s="6" t="n">
        <v>1000</v>
      </c>
      <c r="D5" s="6" t="n">
        <v>2500</v>
      </c>
    </row>
    <row r="6" customFormat="false" ht="15" hidden="false" customHeight="false" outlineLevel="0" collapsed="false">
      <c r="A6" s="5" t="s">
        <v>5</v>
      </c>
      <c r="B6" s="6" t="n">
        <v>15</v>
      </c>
      <c r="C6" s="6" t="n">
        <v>40</v>
      </c>
      <c r="D6" s="6" t="n">
        <v>90</v>
      </c>
    </row>
    <row r="7" customFormat="false" ht="15" hidden="false" customHeight="false" outlineLevel="0" collapsed="false">
      <c r="A7" s="5" t="s">
        <v>7</v>
      </c>
      <c r="B7" s="6" t="n">
        <v>10</v>
      </c>
      <c r="C7" s="6" t="n">
        <v>12</v>
      </c>
      <c r="D7" s="6" t="n">
        <v>14</v>
      </c>
    </row>
    <row r="9" customFormat="false" ht="15" hidden="false" customHeight="false" outlineLevel="0" collapsed="false">
      <c r="A9" s="5" t="s">
        <v>35</v>
      </c>
      <c r="B9" s="10" t="n">
        <f aca="false">B5*Inputs!$B$10+B6*Inputs!$B$11+B7*Inputs!$B$12+Inputs!$B$13</f>
        <v>58000</v>
      </c>
      <c r="C9" s="10" t="n">
        <f aca="false">C5*Inputs!$B$10+C6*Inputs!$B$11+C7*Inputs!$B$12+Inputs!$B$13</f>
        <v>89600</v>
      </c>
      <c r="D9" s="10" t="n">
        <f aca="false">D5*Inputs!$B$10+D6*Inputs!$B$11+D7*Inputs!$B$12+Inputs!$B$13</f>
        <v>155200</v>
      </c>
    </row>
    <row r="10" customFormat="false" ht="15" hidden="false" customHeight="false" outlineLevel="0" collapsed="false">
      <c r="A10" s="5" t="s">
        <v>10</v>
      </c>
      <c r="B10" s="12" t="n">
        <f aca="false">B9/B5</f>
        <v>193.333333333333</v>
      </c>
      <c r="C10" s="12" t="n">
        <f aca="false">C9/C5</f>
        <v>89.6</v>
      </c>
      <c r="D10" s="12" t="n">
        <f aca="false">D9/D5</f>
        <v>62.08</v>
      </c>
    </row>
    <row r="11" customFormat="false" ht="15" hidden="false" customHeight="false" outlineLevel="0" collapsed="false">
      <c r="A11" s="9" t="s">
        <v>56</v>
      </c>
      <c r="B11" s="13" t="n">
        <f aca="false">B10*(1+Inputs!$B$16)</f>
        <v>290</v>
      </c>
      <c r="C11" s="13" t="n">
        <f aca="false">C10*(1+Inputs!$B$16)</f>
        <v>134.4</v>
      </c>
      <c r="D11" s="13" t="n">
        <f aca="false">D10*(1+Inputs!$B$16)</f>
        <v>93.12</v>
      </c>
    </row>
    <row r="12" customFormat="false" ht="15" hidden="false" customHeight="false" outlineLevel="0" collapsed="false">
      <c r="A12" s="5" t="s">
        <v>42</v>
      </c>
      <c r="B12" s="12" t="n">
        <f aca="false">B11/12</f>
        <v>24.1666666666667</v>
      </c>
      <c r="C12" s="12" t="n">
        <f aca="false">C11/12</f>
        <v>11.2</v>
      </c>
      <c r="D12" s="12" t="n">
        <f aca="false">D11/12</f>
        <v>7.76</v>
      </c>
    </row>
    <row r="13" customFormat="false" ht="15" hidden="false" customHeight="false" outlineLevel="0" collapsed="false">
      <c r="A13" s="5" t="s">
        <v>57</v>
      </c>
      <c r="B13" s="10" t="n">
        <f aca="false">B11*B5</f>
        <v>87000</v>
      </c>
      <c r="C13" s="10" t="n">
        <f aca="false">C11*C5</f>
        <v>134400</v>
      </c>
      <c r="D13" s="10" t="n">
        <f aca="false">D11*D5</f>
        <v>232800</v>
      </c>
    </row>
    <row r="14" customFormat="false" ht="15" hidden="false" customHeight="false" outlineLevel="0" collapsed="false">
      <c r="A14" s="5" t="s">
        <v>58</v>
      </c>
      <c r="B14" s="10" t="n">
        <f aca="false">B13-B9</f>
        <v>29000</v>
      </c>
      <c r="C14" s="10" t="n">
        <f aca="false">C13-C9</f>
        <v>44800</v>
      </c>
      <c r="D14" s="10" t="n">
        <f aca="false">D13-D9</f>
        <v>77600</v>
      </c>
    </row>
    <row r="16" customFormat="false" ht="15" hidden="false" customHeight="false" outlineLevel="0" collapsed="false">
      <c r="A16" s="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2026-09-01T04:14:58Z</dcterms:created>
  <dc:creator>openpyxl</dc:creator>
  <dc:description/>
  <dc:language>en-US</dc:language>
  <cp:lastModifiedBy/>
  <dcterms:modified xsi:type="dcterms:W3CDTF">2026-09-01T04:14:58Z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